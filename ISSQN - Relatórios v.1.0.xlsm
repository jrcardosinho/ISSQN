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117809\Desktop\AUXILIAR\GIRET\MACROS\Lilian\ISSQN\"/>
    </mc:Choice>
  </mc:AlternateContent>
  <bookViews>
    <workbookView xWindow="0" yWindow="0" windowWidth="24000" windowHeight="9735" activeTab="1"/>
  </bookViews>
  <sheets>
    <sheet name="CAPA" sheetId="1" r:id="rId1"/>
    <sheet name="GELSB013" sheetId="2" r:id="rId2"/>
    <sheet name="TAESB001" sheetId="4" r:id="rId3"/>
    <sheet name="GIBSB750" sheetId="5" r:id="rId4"/>
    <sheet name="PAINEL" sheetId="3" r:id="rId5"/>
  </sheets>
  <functionGroups builtInGroupCount="18"/>
  <definedNames>
    <definedName name="_xlnm._FilterDatabase" localSheetId="1" hidden="1">GELSB013!$A$3:$L$3</definedName>
    <definedName name="_xlnm._FilterDatabase" localSheetId="4" hidden="1">PAINEL!$A$6:$P$9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" l="1"/>
  <c r="A8" i="3"/>
  <c r="A7" i="3"/>
</calcChain>
</file>

<file path=xl/sharedStrings.xml><?xml version="1.0" encoding="utf-8"?>
<sst xmlns="http://schemas.openxmlformats.org/spreadsheetml/2006/main" count="239" uniqueCount="112">
  <si>
    <t>Agência</t>
  </si>
  <si>
    <t>Data FIM</t>
  </si>
  <si>
    <t>Data Inicio</t>
  </si>
  <si>
    <t>CONTRATO</t>
  </si>
  <si>
    <t>EXTRATO</t>
  </si>
  <si>
    <t>DATA PAGAMENTO</t>
  </si>
  <si>
    <t>DISP PROX EXTR</t>
  </si>
  <si>
    <t>ENCARGOS</t>
  </si>
  <si>
    <t>DISP ENC PREV</t>
  </si>
  <si>
    <t>DISP ENC NAO PREV</t>
  </si>
  <si>
    <t>DATA RELATÓRIO</t>
  </si>
  <si>
    <t>AGÊNCIA</t>
  </si>
  <si>
    <t>CHAVE</t>
  </si>
  <si>
    <t>VALOR PAGO</t>
  </si>
  <si>
    <t>DATA RECEBIMENTO MAIOR QUE DATA VALIDADE DO BOLETO</t>
  </si>
  <si>
    <t>CONTRATO ESTA EM SITUACAO DE LIQUIDADO</t>
  </si>
  <si>
    <t>SIEMP v.1.0</t>
  </si>
  <si>
    <t>TRATAMENTO</t>
  </si>
  <si>
    <t>DATA ATUALIZAÇÃO</t>
  </si>
  <si>
    <t>HISTÓRICO</t>
  </si>
  <si>
    <t>MENSAGEM</t>
  </si>
  <si>
    <t>RESPONSÁVEL</t>
  </si>
  <si>
    <t>Painel de Tratamento da Demanda</t>
  </si>
  <si>
    <t>R$ 553,21</t>
  </si>
  <si>
    <t>R$ 0,00</t>
  </si>
  <si>
    <t>R$ 1.204,87</t>
  </si>
  <si>
    <t>R$ 1.420,78</t>
  </si>
  <si>
    <t>c117809</t>
  </si>
  <si>
    <t>0 - Tratado</t>
  </si>
  <si>
    <t>1 - Pendente</t>
  </si>
  <si>
    <t>2 - Sem acordo de Serviço</t>
  </si>
  <si>
    <t>COD MUNICIPIO</t>
  </si>
  <si>
    <t>PV</t>
  </si>
  <si>
    <t>PRODUTO</t>
  </si>
  <si>
    <t>ALIQUOTA</t>
  </si>
  <si>
    <t>ISSQN</t>
  </si>
  <si>
    <t>UF</t>
  </si>
  <si>
    <t>NOME MUNICIPIO</t>
  </si>
  <si>
    <t>COD LOTERICA</t>
  </si>
  <si>
    <t>NOME LOTERICA</t>
  </si>
  <si>
    <t>CNPJ LOTERICA</t>
  </si>
  <si>
    <t>ARRECADACAO</t>
  </si>
  <si>
    <t>REMUNERACAO</t>
  </si>
  <si>
    <t>DATA RELATORIO</t>
  </si>
  <si>
    <t>Relatório GELSB013.0 da unidades listadas na capa na data de 28/02/2017 a 28/02/2017.</t>
  </si>
  <si>
    <t>53.0010-8</t>
  </si>
  <si>
    <t>BRASILIA</t>
  </si>
  <si>
    <t>DF</t>
  </si>
  <si>
    <t>0002-7  PLANALTO, DF</t>
  </si>
  <si>
    <t>04-000278.0</t>
  </si>
  <si>
    <t>ADILSON DE LUCA RIBEIRO</t>
  </si>
  <si>
    <t>00.431.296/0001-03</t>
  </si>
  <si>
    <t>0531 LOTECA</t>
  </si>
  <si>
    <t>2,79</t>
  </si>
  <si>
    <t>0591 LOTOFACIL</t>
  </si>
  <si>
    <t>0592 TIMEMANIA</t>
  </si>
  <si>
    <t>3.642,00</t>
  </si>
  <si>
    <t>327,78</t>
  </si>
  <si>
    <t>9,10</t>
  </si>
  <si>
    <t>0595 LOTOGOL</t>
  </si>
  <si>
    <t>299,00</t>
  </si>
  <si>
    <t>25,72</t>
  </si>
  <si>
    <t>0,68</t>
  </si>
  <si>
    <t>0740 QUINA</t>
  </si>
  <si>
    <t>20.403,00</t>
  </si>
  <si>
    <t>1.755,63</t>
  </si>
  <si>
    <t>48,89</t>
  </si>
  <si>
    <t>0741 MEGASENA</t>
  </si>
  <si>
    <t>49.402,50</t>
  </si>
  <si>
    <t>4.254,44</t>
  </si>
  <si>
    <t>118,65</t>
  </si>
  <si>
    <t>0745 LOTOMANIA</t>
  </si>
  <si>
    <t>12.190,50</t>
  </si>
  <si>
    <t>1.049,57</t>
  </si>
  <si>
    <t>29,25</t>
  </si>
  <si>
    <t>0749 DUPLA SENA</t>
  </si>
  <si>
    <t>3.954,00</t>
  </si>
  <si>
    <t>340,31</t>
  </si>
  <si>
    <t>9,44</t>
  </si>
  <si>
    <t>0761 LOTERIA FEDERAL</t>
  </si>
  <si>
    <t>1.709,80</t>
  </si>
  <si>
    <t>85,49</t>
  </si>
  <si>
    <t>2,34</t>
  </si>
  <si>
    <t>0003-5  AEROPORTO PRESIDENTE JK, DF</t>
  </si>
  <si>
    <t>04-006521.9</t>
  </si>
  <si>
    <t>LOTERIAS AEROPORTO LTDA - ME</t>
  </si>
  <si>
    <t>00.651.497/0001-08</t>
  </si>
  <si>
    <t>261,00</t>
  </si>
  <si>
    <t>22,46</t>
  </si>
  <si>
    <t>5,00</t>
  </si>
  <si>
    <t>1,11</t>
  </si>
  <si>
    <t>34.182,00</t>
  </si>
  <si>
    <t>2.943,35</t>
  </si>
  <si>
    <t>147,12</t>
  </si>
  <si>
    <t>2.756,00</t>
  </si>
  <si>
    <t>248,04</t>
  </si>
  <si>
    <t>12,36</t>
  </si>
  <si>
    <t>303,00</t>
  </si>
  <si>
    <t>26,06</t>
  </si>
  <si>
    <t>1,27</t>
  </si>
  <si>
    <t>20.712,00</t>
  </si>
  <si>
    <t>1.781,58</t>
  </si>
  <si>
    <t>88,96</t>
  </si>
  <si>
    <t>78.729,00</t>
  </si>
  <si>
    <t>6.780,15</t>
  </si>
  <si>
    <t>338,98</t>
  </si>
  <si>
    <t>12.465,00</t>
  </si>
  <si>
    <t>1.073,29</t>
  </si>
  <si>
    <t>53,64</t>
  </si>
  <si>
    <t>5.090,00</t>
  </si>
  <si>
    <t>438,03</t>
  </si>
  <si>
    <t>21,85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</si>
</sst>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000"/>
    <numFmt numFmtId="165" formatCode="0000000"/>
    <numFmt numFmtId="167" formatCode="&quot;R$&quot;#,##0.00;[Red]&quot;R$&quot;#,##0.00"/>
    <numFmt numFmtId="168" formatCode="000"/>
    <numFmt numFmtId="169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0" fillId="0" borderId="0" xfId="0" applyNumberFormat="1"/>
    <xf numFmtId="167" fontId="1" fillId="0" borderId="0" xfId="0" applyNumberFormat="1" applyFont="1"/>
    <xf numFmtId="167" fontId="0" fillId="0" borderId="0" xfId="0" applyNumberFormat="1"/>
    <xf numFmtId="168" fontId="0" fillId="0" borderId="0" xfId="0" applyNumberFormat="1"/>
    <xf numFmtId="168" fontId="1" fillId="0" borderId="0" xfId="0" applyNumberFormat="1" applyFont="1"/>
    <xf numFmtId="14" fontId="0" fillId="0" borderId="0" xfId="0" applyNumberFormat="1"/>
    <xf numFmtId="0" fontId="1" fillId="0" borderId="0" xfId="0" applyNumberFormat="1" applyFont="1"/>
    <xf numFmtId="0" fontId="0" fillId="0" borderId="0" xfId="0" applyNumberFormat="1"/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169" fontId="1" fillId="0" borderId="0" xfId="0" applyNumberFormat="1" applyFont="1"/>
    <xf numFmtId="169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7</xdr:col>
          <xdr:colOff>590550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Capturar EMPEMP020.0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76200</xdr:rowOff>
        </xdr:from>
        <xdr:to>
          <xdr:col>1</xdr:col>
          <xdr:colOff>142875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 Painel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5"/>
  <sheetViews>
    <sheetView workbookViewId="0">
      <selection activeCell="B4" sqref="B4"/>
    </sheetView>
  </sheetViews>
  <sheetFormatPr defaultColWidth="9.7109375" defaultRowHeight="15" x14ac:dyDescent="0.25"/>
  <cols>
    <col min="1" max="1" width="10.28515625" customWidth="1"/>
    <col min="2" max="2" width="10.7109375" bestFit="1" customWidth="1"/>
    <col min="3" max="3" width="9.7109375" style="2"/>
    <col min="16" max="16" width="9.7109375" hidden="1" customWidth="1"/>
  </cols>
  <sheetData>
    <row r="1" spans="1:16" x14ac:dyDescent="0.25">
      <c r="A1" s="14" t="s">
        <v>16</v>
      </c>
      <c r="B1" s="14"/>
      <c r="C1" s="14"/>
      <c r="D1" s="14"/>
    </row>
    <row r="2" spans="1:16" x14ac:dyDescent="0.25">
      <c r="A2" s="14"/>
      <c r="B2" s="14"/>
      <c r="C2" s="14"/>
      <c r="D2" s="14"/>
      <c r="P2" t="s">
        <v>28</v>
      </c>
    </row>
    <row r="3" spans="1:16" x14ac:dyDescent="0.25">
      <c r="B3" s="2"/>
      <c r="C3" s="2" t="s">
        <v>0</v>
      </c>
      <c r="P3" t="s">
        <v>29</v>
      </c>
    </row>
    <row r="4" spans="1:16" x14ac:dyDescent="0.25">
      <c r="A4" t="s">
        <v>2</v>
      </c>
      <c r="B4" s="1">
        <v>42794</v>
      </c>
      <c r="C4" s="2">
        <v>2</v>
      </c>
      <c r="P4" t="s">
        <v>30</v>
      </c>
    </row>
    <row r="5" spans="1:16" x14ac:dyDescent="0.25">
      <c r="A5" t="s">
        <v>1</v>
      </c>
      <c r="B5" s="1">
        <v>42794</v>
      </c>
    </row>
  </sheetData>
  <mergeCells count="1">
    <mergeCell ref="A1:D2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7</xdr:col>
                    <xdr:colOff>590550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M18"/>
  <sheetViews>
    <sheetView tabSelected="1" workbookViewId="0">
      <selection activeCell="A4" sqref="A4"/>
    </sheetView>
  </sheetViews>
  <sheetFormatPr defaultRowHeight="15" x14ac:dyDescent="0.25"/>
  <cols>
    <col min="1" max="1" width="17.85546875" bestFit="1" customWidth="1"/>
    <col min="2" max="2" width="19.85546875" bestFit="1" customWidth="1"/>
    <col min="3" max="4" width="5.7109375" bestFit="1" customWidth="1"/>
    <col min="5" max="5" width="16.140625" bestFit="1" customWidth="1"/>
    <col min="6" max="6" width="18" bestFit="1" customWidth="1"/>
    <col min="7" max="7" width="16.7109375" bestFit="1" customWidth="1"/>
    <col min="8" max="8" width="12.140625" bestFit="1" customWidth="1"/>
    <col min="9" max="9" width="16.85546875" style="8" bestFit="1" customWidth="1"/>
    <col min="10" max="10" width="17.5703125" style="8" bestFit="1" customWidth="1"/>
    <col min="11" max="11" width="12.5703125" style="8" bestFit="1" customWidth="1"/>
    <col min="12" max="12" width="8.7109375" style="8" bestFit="1" customWidth="1"/>
    <col min="13" max="13" width="21.140625" style="18" bestFit="1" customWidth="1"/>
    <col min="14" max="14" width="15" bestFit="1" customWidth="1"/>
    <col min="15" max="15" width="65" bestFit="1" customWidth="1"/>
  </cols>
  <sheetData>
    <row r="1" spans="1:13" x14ac:dyDescent="0.25">
      <c r="A1" s="19" t="s">
        <v>44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</row>
    <row r="3" spans="1:13" x14ac:dyDescent="0.25">
      <c r="A3" s="3" t="s">
        <v>31</v>
      </c>
      <c r="B3" s="3" t="s">
        <v>37</v>
      </c>
      <c r="C3" s="3" t="s">
        <v>36</v>
      </c>
      <c r="D3" s="3" t="s">
        <v>32</v>
      </c>
      <c r="E3" s="3" t="s">
        <v>38</v>
      </c>
      <c r="F3" s="3" t="s">
        <v>39</v>
      </c>
      <c r="G3" s="3" t="s">
        <v>40</v>
      </c>
      <c r="H3" s="3" t="s">
        <v>33</v>
      </c>
      <c r="I3" s="7" t="s">
        <v>41</v>
      </c>
      <c r="J3" s="7" t="s">
        <v>42</v>
      </c>
      <c r="K3" s="7" t="s">
        <v>34</v>
      </c>
      <c r="L3" s="7" t="s">
        <v>35</v>
      </c>
      <c r="M3" s="17" t="s">
        <v>43</v>
      </c>
    </row>
    <row r="4" spans="1:13" x14ac:dyDescent="0.25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50</v>
      </c>
      <c r="G4" t="s">
        <v>51</v>
      </c>
      <c r="H4" t="s">
        <v>55</v>
      </c>
      <c r="I4" s="8" t="s">
        <v>56</v>
      </c>
      <c r="J4" s="8" t="s">
        <v>57</v>
      </c>
      <c r="K4" s="8" t="s">
        <v>53</v>
      </c>
      <c r="L4" s="8" t="s">
        <v>58</v>
      </c>
      <c r="M4" s="18">
        <v>42794</v>
      </c>
    </row>
    <row r="5" spans="1:13" x14ac:dyDescent="0.25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50</v>
      </c>
      <c r="G5" t="s">
        <v>51</v>
      </c>
      <c r="H5" t="s">
        <v>59</v>
      </c>
      <c r="I5" s="8" t="s">
        <v>60</v>
      </c>
      <c r="J5" s="8" t="s">
        <v>61</v>
      </c>
      <c r="K5" s="8" t="s">
        <v>53</v>
      </c>
      <c r="L5" s="8" t="s">
        <v>62</v>
      </c>
      <c r="M5" s="18">
        <v>42794</v>
      </c>
    </row>
    <row r="6" spans="1:13" x14ac:dyDescent="0.25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  <c r="H6" t="s">
        <v>63</v>
      </c>
      <c r="I6" s="8" t="s">
        <v>64</v>
      </c>
      <c r="J6" s="8" t="s">
        <v>65</v>
      </c>
      <c r="K6" s="8" t="s">
        <v>53</v>
      </c>
      <c r="L6" s="8" t="s">
        <v>66</v>
      </c>
      <c r="M6" s="18">
        <v>42794</v>
      </c>
    </row>
    <row r="7" spans="1:13" x14ac:dyDescent="0.25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50</v>
      </c>
      <c r="G7" t="s">
        <v>51</v>
      </c>
      <c r="H7" t="s">
        <v>67</v>
      </c>
      <c r="I7" s="8" t="s">
        <v>68</v>
      </c>
      <c r="J7" s="8" t="s">
        <v>69</v>
      </c>
      <c r="K7" s="8" t="s">
        <v>53</v>
      </c>
      <c r="L7" s="8" t="s">
        <v>70</v>
      </c>
      <c r="M7" s="18">
        <v>42794</v>
      </c>
    </row>
    <row r="8" spans="1:13" x14ac:dyDescent="0.25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50</v>
      </c>
      <c r="G8" t="s">
        <v>51</v>
      </c>
      <c r="H8" t="s">
        <v>71</v>
      </c>
      <c r="I8" s="8" t="s">
        <v>72</v>
      </c>
      <c r="J8" s="8" t="s">
        <v>73</v>
      </c>
      <c r="K8" s="8" t="s">
        <v>53</v>
      </c>
      <c r="L8" s="8" t="s">
        <v>74</v>
      </c>
      <c r="M8" s="18">
        <v>42794</v>
      </c>
    </row>
    <row r="9" spans="1:13" x14ac:dyDescent="0.25">
      <c r="A9" t="s">
        <v>45</v>
      </c>
      <c r="B9" t="s">
        <v>46</v>
      </c>
      <c r="C9" t="s">
        <v>47</v>
      </c>
      <c r="D9" t="s">
        <v>48</v>
      </c>
      <c r="E9" t="s">
        <v>49</v>
      </c>
      <c r="F9" t="s">
        <v>50</v>
      </c>
      <c r="G9" t="s">
        <v>51</v>
      </c>
      <c r="H9" t="s">
        <v>75</v>
      </c>
      <c r="I9" s="8" t="s">
        <v>76</v>
      </c>
      <c r="J9" s="8" t="s">
        <v>77</v>
      </c>
      <c r="K9" s="8" t="s">
        <v>53</v>
      </c>
      <c r="L9" s="8" t="s">
        <v>78</v>
      </c>
      <c r="M9" s="18">
        <v>42794</v>
      </c>
    </row>
    <row r="10" spans="1:13" x14ac:dyDescent="0.25">
      <c r="A10" t="s">
        <v>45</v>
      </c>
      <c r="B10" t="s">
        <v>46</v>
      </c>
      <c r="C10" t="s">
        <v>47</v>
      </c>
      <c r="D10" t="s">
        <v>48</v>
      </c>
      <c r="E10" t="s">
        <v>49</v>
      </c>
      <c r="F10" t="s">
        <v>50</v>
      </c>
      <c r="G10" t="s">
        <v>51</v>
      </c>
      <c r="H10" t="s">
        <v>79</v>
      </c>
      <c r="I10" s="8" t="s">
        <v>80</v>
      </c>
      <c r="J10" s="8" t="s">
        <v>81</v>
      </c>
      <c r="K10" s="8" t="s">
        <v>53</v>
      </c>
      <c r="L10" s="8" t="s">
        <v>82</v>
      </c>
      <c r="M10" s="18">
        <v>42794</v>
      </c>
    </row>
    <row r="11" spans="1:13" x14ac:dyDescent="0.25">
      <c r="A11" t="s">
        <v>45</v>
      </c>
      <c r="B11" t="s">
        <v>46</v>
      </c>
      <c r="C11" t="s">
        <v>47</v>
      </c>
      <c r="D11" t="s">
        <v>83</v>
      </c>
      <c r="E11" t="s">
        <v>84</v>
      </c>
      <c r="F11" t="s">
        <v>85</v>
      </c>
      <c r="G11" t="s">
        <v>86</v>
      </c>
      <c r="H11" t="s">
        <v>52</v>
      </c>
      <c r="I11" s="8" t="s">
        <v>87</v>
      </c>
      <c r="J11" s="8" t="s">
        <v>88</v>
      </c>
      <c r="K11" s="8" t="s">
        <v>89</v>
      </c>
      <c r="L11" s="8" t="s">
        <v>90</v>
      </c>
      <c r="M11" s="18">
        <v>42794</v>
      </c>
    </row>
    <row r="12" spans="1:13" x14ac:dyDescent="0.25">
      <c r="A12" t="s">
        <v>45</v>
      </c>
      <c r="B12" t="s">
        <v>46</v>
      </c>
      <c r="C12" t="s">
        <v>47</v>
      </c>
      <c r="D12" t="s">
        <v>83</v>
      </c>
      <c r="E12" t="s">
        <v>84</v>
      </c>
      <c r="F12" t="s">
        <v>85</v>
      </c>
      <c r="G12" t="s">
        <v>86</v>
      </c>
      <c r="H12" t="s">
        <v>54</v>
      </c>
      <c r="I12" s="8" t="s">
        <v>91</v>
      </c>
      <c r="J12" s="8" t="s">
        <v>92</v>
      </c>
      <c r="K12" s="8" t="s">
        <v>89</v>
      </c>
      <c r="L12" s="8" t="s">
        <v>93</v>
      </c>
      <c r="M12" s="18">
        <v>42794</v>
      </c>
    </row>
    <row r="13" spans="1:13" x14ac:dyDescent="0.25">
      <c r="A13" t="s">
        <v>45</v>
      </c>
      <c r="B13" t="s">
        <v>46</v>
      </c>
      <c r="C13" t="s">
        <v>47</v>
      </c>
      <c r="D13" t="s">
        <v>83</v>
      </c>
      <c r="E13" t="s">
        <v>84</v>
      </c>
      <c r="F13" t="s">
        <v>85</v>
      </c>
      <c r="G13" t="s">
        <v>86</v>
      </c>
      <c r="H13" t="s">
        <v>55</v>
      </c>
      <c r="I13" s="8" t="s">
        <v>94</v>
      </c>
      <c r="J13" s="8" t="s">
        <v>95</v>
      </c>
      <c r="K13" s="8" t="s">
        <v>89</v>
      </c>
      <c r="L13" s="8" t="s">
        <v>96</v>
      </c>
      <c r="M13" s="18">
        <v>42794</v>
      </c>
    </row>
    <row r="14" spans="1:13" x14ac:dyDescent="0.25">
      <c r="A14" t="s">
        <v>45</v>
      </c>
      <c r="B14" t="s">
        <v>46</v>
      </c>
      <c r="C14" t="s">
        <v>47</v>
      </c>
      <c r="D14" t="s">
        <v>83</v>
      </c>
      <c r="E14" t="s">
        <v>84</v>
      </c>
      <c r="F14" t="s">
        <v>85</v>
      </c>
      <c r="G14" t="s">
        <v>86</v>
      </c>
      <c r="H14" t="s">
        <v>59</v>
      </c>
      <c r="I14" s="8" t="s">
        <v>97</v>
      </c>
      <c r="J14" s="8" t="s">
        <v>98</v>
      </c>
      <c r="K14" s="8" t="s">
        <v>89</v>
      </c>
      <c r="L14" s="8" t="s">
        <v>99</v>
      </c>
      <c r="M14" s="18">
        <v>42794</v>
      </c>
    </row>
    <row r="15" spans="1:13" x14ac:dyDescent="0.25">
      <c r="A15" t="s">
        <v>45</v>
      </c>
      <c r="B15" t="s">
        <v>46</v>
      </c>
      <c r="C15" t="s">
        <v>47</v>
      </c>
      <c r="D15" t="s">
        <v>83</v>
      </c>
      <c r="E15" t="s">
        <v>84</v>
      </c>
      <c r="F15" t="s">
        <v>85</v>
      </c>
      <c r="G15" t="s">
        <v>86</v>
      </c>
      <c r="H15" t="s">
        <v>63</v>
      </c>
      <c r="I15" s="8" t="s">
        <v>100</v>
      </c>
      <c r="J15" s="8" t="s">
        <v>101</v>
      </c>
      <c r="K15" s="8" t="s">
        <v>89</v>
      </c>
      <c r="L15" s="8" t="s">
        <v>102</v>
      </c>
      <c r="M15" s="18">
        <v>42794</v>
      </c>
    </row>
    <row r="16" spans="1:13" x14ac:dyDescent="0.25">
      <c r="A16" t="s">
        <v>45</v>
      </c>
      <c r="B16" t="s">
        <v>46</v>
      </c>
      <c r="C16" t="s">
        <v>47</v>
      </c>
      <c r="D16" t="s">
        <v>83</v>
      </c>
      <c r="E16" t="s">
        <v>84</v>
      </c>
      <c r="F16" t="s">
        <v>85</v>
      </c>
      <c r="G16" t="s">
        <v>86</v>
      </c>
      <c r="H16" t="s">
        <v>67</v>
      </c>
      <c r="I16" s="8" t="s">
        <v>103</v>
      </c>
      <c r="J16" s="8" t="s">
        <v>104</v>
      </c>
      <c r="K16" s="8" t="s">
        <v>89</v>
      </c>
      <c r="L16" s="8" t="s">
        <v>105</v>
      </c>
      <c r="M16" s="18">
        <v>42794</v>
      </c>
    </row>
    <row r="17" spans="1:13" x14ac:dyDescent="0.25">
      <c r="A17" t="s">
        <v>45</v>
      </c>
      <c r="B17" t="s">
        <v>46</v>
      </c>
      <c r="C17" t="s">
        <v>47</v>
      </c>
      <c r="D17" t="s">
        <v>83</v>
      </c>
      <c r="E17" t="s">
        <v>84</v>
      </c>
      <c r="F17" t="s">
        <v>85</v>
      </c>
      <c r="G17" t="s">
        <v>86</v>
      </c>
      <c r="H17" t="s">
        <v>71</v>
      </c>
      <c r="I17" s="8" t="s">
        <v>106</v>
      </c>
      <c r="J17" s="8" t="s">
        <v>107</v>
      </c>
      <c r="K17" s="8" t="s">
        <v>89</v>
      </c>
      <c r="L17" s="8" t="s">
        <v>108</v>
      </c>
      <c r="M17" s="18">
        <v>42794</v>
      </c>
    </row>
    <row r="18" spans="1:13" x14ac:dyDescent="0.25">
      <c r="A18" t="s">
        <v>45</v>
      </c>
      <c r="B18" t="s">
        <v>46</v>
      </c>
      <c r="C18" t="s">
        <v>47</v>
      </c>
      <c r="D18" t="s">
        <v>83</v>
      </c>
      <c r="E18" t="s">
        <v>84</v>
      </c>
      <c r="F18" t="s">
        <v>85</v>
      </c>
      <c r="G18" t="s">
        <v>86</v>
      </c>
      <c r="H18" t="s">
        <v>75</v>
      </c>
      <c r="I18" s="8" t="s">
        <v>109</v>
      </c>
      <c r="J18" s="8" t="s">
        <v>110</v>
      </c>
      <c r="K18" s="8" t="s">
        <v>89</v>
      </c>
      <c r="L18" s="8" t="s">
        <v>111</v>
      </c>
      <c r="M18" s="18">
        <v>42794</v>
      </c>
    </row>
  </sheetData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P9"/>
  <sheetViews>
    <sheetView workbookViewId="0">
      <selection activeCell="A7" sqref="A7"/>
    </sheetView>
  </sheetViews>
  <sheetFormatPr defaultRowHeight="15" x14ac:dyDescent="0.25"/>
  <cols>
    <col min="1" max="1" width="15.7109375" style="13" bestFit="1" customWidth="1"/>
    <col min="2" max="2" width="12.85546875" style="13" bestFit="1" customWidth="1"/>
    <col min="3" max="3" width="18.5703125" bestFit="1" customWidth="1"/>
    <col min="4" max="4" width="11.28515625" style="2" bestFit="1" customWidth="1"/>
    <col min="5" max="5" width="9.28515625" style="6" bestFit="1" customWidth="1"/>
    <col min="6" max="6" width="13.140625" style="6" bestFit="1" customWidth="1"/>
    <col min="7" max="7" width="14.85546875" bestFit="1" customWidth="1"/>
    <col min="8" max="8" width="11.28515625" style="9" bestFit="1" customWidth="1"/>
    <col min="9" max="9" width="20.42578125" bestFit="1" customWidth="1"/>
    <col min="10" max="10" width="17.42578125" bestFit="1" customWidth="1"/>
    <col min="11" max="11" width="13" bestFit="1" customWidth="1"/>
    <col min="12" max="12" width="16.42578125" bestFit="1" customWidth="1"/>
    <col min="13" max="13" width="21.140625" bestFit="1" customWidth="1"/>
    <col min="14" max="14" width="56.140625" style="13" bestFit="1" customWidth="1"/>
    <col min="15" max="15" width="16" bestFit="1" customWidth="1"/>
    <col min="16" max="16" width="21.28515625" bestFit="1" customWidth="1"/>
  </cols>
  <sheetData>
    <row r="1" spans="1:16" x14ac:dyDescent="0.25">
      <c r="A1" s="16" t="s">
        <v>22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</row>
    <row r="3" spans="1:16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</row>
    <row r="4" spans="1:16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</row>
    <row r="6" spans="1:16" x14ac:dyDescent="0.25">
      <c r="A6" s="12" t="s">
        <v>17</v>
      </c>
      <c r="B6" s="12" t="s">
        <v>19</v>
      </c>
      <c r="C6" s="3" t="s">
        <v>10</v>
      </c>
      <c r="D6" s="4" t="s">
        <v>11</v>
      </c>
      <c r="E6" s="5" t="s">
        <v>12</v>
      </c>
      <c r="F6" s="5" t="s">
        <v>3</v>
      </c>
      <c r="G6" s="3" t="s">
        <v>13</v>
      </c>
      <c r="H6" s="10" t="s">
        <v>4</v>
      </c>
      <c r="I6" s="3" t="s">
        <v>5</v>
      </c>
      <c r="J6" s="3" t="s">
        <v>6</v>
      </c>
      <c r="K6" s="3" t="s">
        <v>7</v>
      </c>
      <c r="L6" s="3" t="s">
        <v>8</v>
      </c>
      <c r="M6" s="3" t="s">
        <v>9</v>
      </c>
      <c r="N6" s="12" t="s">
        <v>20</v>
      </c>
      <c r="O6" s="3" t="s">
        <v>21</v>
      </c>
      <c r="P6" s="3" t="s">
        <v>18</v>
      </c>
    </row>
    <row r="7" spans="1:16" x14ac:dyDescent="0.25">
      <c r="A7" s="13" t="str">
        <f>CAPA!$P$3</f>
        <v>1 - Pendente</v>
      </c>
      <c r="C7" s="11">
        <v>42772</v>
      </c>
      <c r="D7" s="2">
        <v>1041</v>
      </c>
      <c r="E7" s="6">
        <v>131878</v>
      </c>
      <c r="F7" s="6">
        <v>105187</v>
      </c>
      <c r="G7" t="s">
        <v>23</v>
      </c>
      <c r="H7" s="9">
        <v>16</v>
      </c>
      <c r="I7" s="11">
        <v>42653</v>
      </c>
      <c r="J7" t="s">
        <v>24</v>
      </c>
      <c r="K7" t="s">
        <v>24</v>
      </c>
      <c r="L7" t="s">
        <v>24</v>
      </c>
      <c r="M7" t="s">
        <v>24</v>
      </c>
      <c r="N7" s="13" t="s">
        <v>15</v>
      </c>
      <c r="O7" t="s">
        <v>27</v>
      </c>
      <c r="P7" s="11">
        <v>42776</v>
      </c>
    </row>
    <row r="8" spans="1:16" x14ac:dyDescent="0.25">
      <c r="A8" s="13" t="str">
        <f>CAPA!$P$3</f>
        <v>1 - Pendente</v>
      </c>
      <c r="C8" s="11">
        <v>42772</v>
      </c>
      <c r="D8" s="2">
        <v>2893</v>
      </c>
      <c r="E8" s="6">
        <v>130117</v>
      </c>
      <c r="F8" s="6">
        <v>99011</v>
      </c>
      <c r="G8" t="s">
        <v>25</v>
      </c>
      <c r="H8" s="9">
        <v>13</v>
      </c>
      <c r="I8" s="11">
        <v>42747</v>
      </c>
      <c r="J8" t="s">
        <v>24</v>
      </c>
      <c r="K8" t="s">
        <v>24</v>
      </c>
      <c r="L8" t="s">
        <v>24</v>
      </c>
      <c r="M8" t="s">
        <v>24</v>
      </c>
      <c r="N8" s="13" t="s">
        <v>14</v>
      </c>
      <c r="O8" t="s">
        <v>27</v>
      </c>
      <c r="P8" s="11">
        <v>42776</v>
      </c>
    </row>
    <row r="9" spans="1:16" x14ac:dyDescent="0.25">
      <c r="A9" s="13" t="str">
        <f>CAPA!$P$3</f>
        <v>1 - Pendente</v>
      </c>
      <c r="C9" s="11">
        <v>42772</v>
      </c>
      <c r="D9" s="2">
        <v>1088</v>
      </c>
      <c r="E9" s="6">
        <v>159834</v>
      </c>
      <c r="F9" s="6">
        <v>116983</v>
      </c>
      <c r="G9" t="s">
        <v>26</v>
      </c>
      <c r="H9" s="9">
        <v>15</v>
      </c>
      <c r="I9" s="11">
        <v>42751</v>
      </c>
      <c r="J9" t="s">
        <v>24</v>
      </c>
      <c r="K9" t="s">
        <v>24</v>
      </c>
      <c r="L9" t="s">
        <v>24</v>
      </c>
      <c r="M9" t="s">
        <v>24</v>
      </c>
      <c r="N9" s="13" t="s">
        <v>15</v>
      </c>
      <c r="O9" t="s">
        <v>27</v>
      </c>
      <c r="P9" s="11">
        <v>42776</v>
      </c>
    </row>
  </sheetData>
  <autoFilter ref="A6:P9"/>
  <mergeCells count="2">
    <mergeCell ref="A4:P5"/>
    <mergeCell ref="A1:P3"/>
  </mergeCell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Painel">
                <anchor moveWithCells="1">
                  <from>
                    <xdr:col>0</xdr:col>
                    <xdr:colOff>38100</xdr:colOff>
                    <xdr:row>3</xdr:row>
                    <xdr:rowOff>76200</xdr:rowOff>
                  </from>
                  <to>
                    <xdr:col>1</xdr:col>
                    <xdr:colOff>142875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CAPA!$P$2:$P$4</xm:f>
          </x14:formula1>
          <xm:sqref>A7:A9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GELSB013</vt:lpstr>
      <vt:lpstr>TAESB001</vt:lpstr>
      <vt:lpstr>GIBSB750</vt:lpstr>
      <vt:lpstr>PAINEL</vt:lpstr>
    </vt:vector>
  </TitlesOfParts>
  <Company>CAIXA ECONOMICA FEDERAL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de Freitas Cardoso Junior</dc:creator>
  <cp:lastModifiedBy>Luiz Alberto de Freitas Cardoso Junior</cp:lastModifiedBy>
  <dcterms:created xsi:type="dcterms:W3CDTF">2016-11-10T13:59:08Z</dcterms:created>
  <dcterms:modified xsi:type="dcterms:W3CDTF">2017-03-27T16:45:49Z</dcterms:modified>
</cp:coreProperties>
</file>